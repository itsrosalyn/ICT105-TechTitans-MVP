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hyakki\education\Summer 2569\ICT105\QR Attendance System\data lab 08\"/>
    </mc:Choice>
  </mc:AlternateContent>
  <xr:revisionPtr revIDLastSave="0" documentId="8_{6B770F49-0280-4EF4-85E1-79E8AB6636E2}" xr6:coauthVersionLast="47" xr6:coauthVersionMax="47" xr10:uidLastSave="{00000000-0000-0000-0000-000000000000}"/>
  <bookViews>
    <workbookView xWindow="-108" yWindow="-108" windowWidth="23256" windowHeight="13176" firstSheet="1" activeTab="1" xr2:uid="{00000000-000D-0000-FFFF-FFFF00000000}"/>
  </bookViews>
  <sheets>
    <sheet name="Raw Validation Data" sheetId="1" r:id="rId1"/>
    <sheet name="Analytics 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5" i="2"/>
  <c r="B4" i="2"/>
  <c r="B6" i="2" l="1"/>
  <c r="B10" i="2" s="1"/>
</calcChain>
</file>

<file path=xl/sharedStrings.xml><?xml version="1.0" encoding="utf-8"?>
<sst xmlns="http://schemas.openxmlformats.org/spreadsheetml/2006/main" count="115" uniqueCount="90">
  <si>
    <t>Test_User_ID</t>
  </si>
  <si>
    <t>User_Role</t>
  </si>
  <si>
    <t>Prototype_Version</t>
  </si>
  <si>
    <t>Main_Task</t>
  </si>
  <si>
    <t>Task_Completed</t>
  </si>
  <si>
    <t>Time_Seconds</t>
  </si>
  <si>
    <t>Confusion_Point</t>
  </si>
  <si>
    <t>Feature_Most_Useful</t>
  </si>
  <si>
    <t>Feedback_Score_1_5</t>
  </si>
  <si>
    <t>Interest_Level_1_5</t>
  </si>
  <si>
    <t>Comment</t>
  </si>
  <si>
    <t>Requirement_Affected</t>
  </si>
  <si>
    <t>TU-01</t>
  </si>
  <si>
    <t>Student</t>
  </si>
  <si>
    <t>Yes</t>
  </si>
  <si>
    <t>No confusion</t>
  </si>
  <si>
    <t>TU-02</t>
  </si>
  <si>
    <t>Search/filter</t>
  </si>
  <si>
    <t>TU-03</t>
  </si>
  <si>
    <t>TU-04</t>
  </si>
  <si>
    <t>Form fields</t>
  </si>
  <si>
    <t>FR-03, FR-10</t>
  </si>
  <si>
    <t>TU-05</t>
  </si>
  <si>
    <t>TU-06</t>
  </si>
  <si>
    <t>TU-07</t>
  </si>
  <si>
    <t>FR-11</t>
  </si>
  <si>
    <t>Privacy note</t>
  </si>
  <si>
    <t>Lab 08 Customer Validation Analytics Dashboard</t>
  </si>
  <si>
    <t>Metric</t>
  </si>
  <si>
    <t>Formula / Value</t>
  </si>
  <si>
    <t>Confusion Category</t>
  </si>
  <si>
    <t>Count</t>
  </si>
  <si>
    <t>Interpretation</t>
  </si>
  <si>
    <t>Total test users</t>
  </si>
  <si>
    <t>The workflow was easy to follow.</t>
  </si>
  <si>
    <t>Completed tasks</t>
  </si>
  <si>
    <t>Task success rate</t>
  </si>
  <si>
    <t>Average feedback score</t>
  </si>
  <si>
    <t>Average interest level</t>
  </si>
  <si>
    <t>Users with confusion points</t>
  </si>
  <si>
    <t>Evidence-based decision</t>
  </si>
  <si>
    <t>Team Interpretation Checklist</t>
  </si>
  <si>
    <t>Question</t>
  </si>
  <si>
    <t>Team Answer / Evidence</t>
  </si>
  <si>
    <t>Which main task had the lowest completion?</t>
  </si>
  <si>
    <t>Which screen or feature confused users most?</t>
  </si>
  <si>
    <t>Which requirement needs improvement before implementation?</t>
  </si>
  <si>
    <t>Which MVP feature should be kept as must-have?</t>
  </si>
  <si>
    <t>Decision: continue, revise, or pivot? Explain.</t>
  </si>
  <si>
    <t>v1</t>
  </si>
  <si>
    <t>Log in as a student</t>
  </si>
  <si>
    <t>Login Screen</t>
  </si>
  <si>
    <t>The login page was easy to understand.</t>
  </si>
  <si>
    <t>FR-01, FR-02</t>
  </si>
  <si>
    <t>Scan the QR code</t>
  </si>
  <si>
    <t>Camera positioning</t>
  </si>
  <si>
    <t>QR Code Scanner</t>
  </si>
  <si>
    <t>Needed a moment to align the QR code.</t>
  </si>
  <si>
    <t>FR-03</t>
  </si>
  <si>
    <t>Allow GPS location verification</t>
  </si>
  <si>
    <t>Location Verification</t>
  </si>
  <si>
    <t>The Near/Far location selection was easy to understand after reading the instructions.</t>
  </si>
  <si>
    <t>Confirm attendance</t>
  </si>
  <si>
    <t>Confirmation Message</t>
  </si>
  <si>
    <t>The confirmation message was clear and easy to understand.</t>
  </si>
  <si>
    <t>View attendance history and search for a previous attendance record</t>
  </si>
  <si>
    <t>Attendance percentage</t>
  </si>
  <si>
    <t>Attendance History</t>
  </si>
  <si>
    <t>Wanted more explanation of the attendance percentage.</t>
  </si>
  <si>
    <t>FR-05, FR-06, FR-07, FR-08</t>
  </si>
  <si>
    <t>Lecturer</t>
  </si>
  <si>
    <t>Log in as a lecturer</t>
  </si>
  <si>
    <t>Lecturer Dashboard</t>
  </si>
  <si>
    <t>The lecturer dashboard was easy to access.</t>
  </si>
  <si>
    <t>Generate a QR code and view the attendance dashboard</t>
  </si>
  <si>
    <t>Attendance summary</t>
  </si>
  <si>
    <t>QR Code Generation &amp; Dashboard</t>
  </si>
  <si>
    <t>QR code generation was straightforward. The dashboard was easy to understand, but more attendance details in the summary would be helpful.</t>
  </si>
  <si>
    <t>FR-05, FR-09, FR-12</t>
  </si>
  <si>
    <t>All tasks had 100% completion. The QR scanning task had the most difficulty due to camera positioning issues.</t>
  </si>
  <si>
    <t>QR Code Scanner and Attendance Dashboard summary caused the most confusion. Users wanted clearer details.</t>
  </si>
  <si>
    <t>FR-03 (QR scanning and GPS verification) needs improvement, along with clearer attendance percentage information in FR-08.</t>
  </si>
  <si>
    <t>QR attendance check-in workflow should remain a must-have because users found it useful and easy to follow.</t>
  </si>
  <si>
    <t>Continue with revisions. The MVP is validated, but QR scanning, GPS verification, and dashboard details need improvement.</t>
  </si>
  <si>
    <t>Dashboard summary should provide more attendance details.</t>
  </si>
  <si>
    <t>QR scanning needs clearer guidance for camera alignment.</t>
  </si>
  <si>
    <t>Attendance percentage information needs clearer explanation.</t>
  </si>
  <si>
    <t>No issues were reported with search or filter functions.</t>
  </si>
  <si>
    <t>No confusion with input fields was reported.</t>
  </si>
  <si>
    <t>No privacy or data display concerns were reported.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</si>
</sst>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111827"/>
      <name val="Carlito"/>
    </font>
    <font>
      <b/>
      <sz val="11"/>
      <color theme="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F766E"/>
      </patternFill>
    </fill>
    <fill>
      <patternFill patternType="solid">
        <fgColor rgb="FF374151"/>
      </patternFill>
    </fill>
    <fill>
      <patternFill patternType="solid">
        <fgColor rgb="FFF59E0B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4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9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0" fontId="1" fillId="4" borderId="0" xfId="0" applyFont="1" applyFill="1" applyAlignment="1">
      <alignment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4" fillId="5" borderId="0" xfId="0" applyFont="1" applyFill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Confusion Points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'Analytics Dashboard'!$D$4:$D$10</c:f>
              <c:strCache>
                <c:ptCount val="7"/>
                <c:pt idx="0">
                  <c:v>No confusion</c:v>
                </c:pt>
                <c:pt idx="1">
                  <c:v>Camera positioning</c:v>
                </c:pt>
                <c:pt idx="2">
                  <c:v>Attendance percentage</c:v>
                </c:pt>
                <c:pt idx="3">
                  <c:v>Attendance summary</c:v>
                </c:pt>
                <c:pt idx="4">
                  <c:v>Search/filter</c:v>
                </c:pt>
                <c:pt idx="5">
                  <c:v>Form fields</c:v>
                </c:pt>
                <c:pt idx="6">
                  <c:v>Privacy note</c:v>
                </c:pt>
              </c:strCache>
            </c:strRef>
          </c:cat>
          <c:val>
            <c:numRef>
              <c:f>'Analytics Dashboard'!$E$4:$E$10</c:f>
              <c:numCache>
                <c:formatCode>General</c:formatCode>
                <c:ptCount val="7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1-4F52-BC12-7B4EA3BE4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0</xdr:rowOff>
    </xdr:from>
    <xdr:to>
      <xdr:col>6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alidationResultsTable" displayName="ValidationResultsTable" ref="A1:L8">
  <tableColumns count="12">
    <tableColumn id="1" xr3:uid="{00000000-0010-0000-0000-000001000000}" name="Test_User_ID"/>
    <tableColumn id="2" xr3:uid="{00000000-0010-0000-0000-000002000000}" name="User_Role"/>
    <tableColumn id="3" xr3:uid="{00000000-0010-0000-0000-000003000000}" name="Prototype_Version"/>
    <tableColumn id="4" xr3:uid="{00000000-0010-0000-0000-000004000000}" name="Main_Task"/>
    <tableColumn id="5" xr3:uid="{00000000-0010-0000-0000-000005000000}" name="Task_Completed"/>
    <tableColumn id="6" xr3:uid="{00000000-0010-0000-0000-000006000000}" name="Time_Seconds"/>
    <tableColumn id="7" xr3:uid="{00000000-0010-0000-0000-000007000000}" name="Confusion_Point"/>
    <tableColumn id="8" xr3:uid="{00000000-0010-0000-0000-000008000000}" name="Feature_Most_Useful"/>
    <tableColumn id="9" xr3:uid="{00000000-0010-0000-0000-000009000000}" name="Feedback_Score_1_5"/>
    <tableColumn id="10" xr3:uid="{00000000-0010-0000-0000-00000A000000}" name="Interest_Level_1_5"/>
    <tableColumn id="11" xr3:uid="{00000000-0010-0000-0000-00000B000000}" name="Comment"/>
    <tableColumn id="12" xr3:uid="{00000000-0010-0000-0000-00000C000000}" name="Requirement_Affec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opLeftCell="K1" workbookViewId="0">
      <selection activeCell="E1" sqref="E1:L8"/>
    </sheetView>
  </sheetViews>
  <sheetFormatPr defaultRowHeight="13.8"/>
  <cols>
    <col min="1" max="1" width="14" customWidth="1"/>
    <col min="2" max="3" width="16" customWidth="1"/>
    <col min="4" max="4" width="24" customWidth="1"/>
    <col min="5" max="5" width="16" customWidth="1"/>
    <col min="6" max="6" width="14" customWidth="1"/>
    <col min="7" max="7" width="22" customWidth="1"/>
    <col min="8" max="8" width="24" customWidth="1"/>
    <col min="9" max="10" width="18" customWidth="1"/>
    <col min="11" max="11" width="45" customWidth="1"/>
    <col min="12" max="12" width="28" customWidth="1"/>
  </cols>
  <sheetData>
    <row r="1" spans="1:12" ht="28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49</v>
      </c>
      <c r="D2" s="2" t="s">
        <v>50</v>
      </c>
      <c r="E2" s="2" t="s">
        <v>14</v>
      </c>
      <c r="F2" s="2">
        <v>30</v>
      </c>
      <c r="G2" s="2" t="s">
        <v>15</v>
      </c>
      <c r="H2" s="2" t="s">
        <v>51</v>
      </c>
      <c r="I2" s="2">
        <v>5</v>
      </c>
      <c r="J2" s="2">
        <v>5</v>
      </c>
      <c r="K2" s="2" t="s">
        <v>52</v>
      </c>
      <c r="L2" s="2" t="s">
        <v>53</v>
      </c>
    </row>
    <row r="3" spans="1:12">
      <c r="A3" s="2" t="s">
        <v>16</v>
      </c>
      <c r="B3" s="2" t="s">
        <v>13</v>
      </c>
      <c r="C3" s="2" t="s">
        <v>49</v>
      </c>
      <c r="D3" s="2" t="s">
        <v>54</v>
      </c>
      <c r="E3" s="2" t="s">
        <v>14</v>
      </c>
      <c r="F3" s="2">
        <v>45</v>
      </c>
      <c r="G3" s="2" t="s">
        <v>55</v>
      </c>
      <c r="H3" s="2" t="s">
        <v>56</v>
      </c>
      <c r="I3" s="2">
        <v>4</v>
      </c>
      <c r="J3" s="2">
        <v>4</v>
      </c>
      <c r="K3" s="2" t="s">
        <v>57</v>
      </c>
      <c r="L3" s="2" t="s">
        <v>58</v>
      </c>
    </row>
    <row r="4" spans="1:12">
      <c r="A4" s="2" t="s">
        <v>18</v>
      </c>
      <c r="B4" s="2" t="s">
        <v>13</v>
      </c>
      <c r="C4" s="2" t="s">
        <v>49</v>
      </c>
      <c r="D4" s="2" t="s">
        <v>59</v>
      </c>
      <c r="E4" s="2" t="s">
        <v>14</v>
      </c>
      <c r="F4" s="2">
        <v>25</v>
      </c>
      <c r="G4" s="2" t="s">
        <v>15</v>
      </c>
      <c r="H4" s="2" t="s">
        <v>60</v>
      </c>
      <c r="I4" s="2">
        <v>4</v>
      </c>
      <c r="J4" s="2">
        <v>4</v>
      </c>
      <c r="K4" s="2" t="s">
        <v>61</v>
      </c>
      <c r="L4" s="2" t="s">
        <v>21</v>
      </c>
    </row>
    <row r="5" spans="1:12">
      <c r="A5" s="2" t="s">
        <v>19</v>
      </c>
      <c r="B5" s="2" t="s">
        <v>13</v>
      </c>
      <c r="C5" s="2" t="s">
        <v>49</v>
      </c>
      <c r="D5" s="2" t="s">
        <v>62</v>
      </c>
      <c r="E5" s="2" t="s">
        <v>14</v>
      </c>
      <c r="F5" s="2">
        <v>15</v>
      </c>
      <c r="G5" s="2" t="s">
        <v>15</v>
      </c>
      <c r="H5" s="2" t="s">
        <v>63</v>
      </c>
      <c r="I5" s="2">
        <v>5</v>
      </c>
      <c r="J5" s="2">
        <v>5</v>
      </c>
      <c r="K5" s="2" t="s">
        <v>64</v>
      </c>
      <c r="L5" s="2" t="s">
        <v>25</v>
      </c>
    </row>
    <row r="6" spans="1:12">
      <c r="A6" s="2" t="s">
        <v>22</v>
      </c>
      <c r="B6" s="2" t="s">
        <v>13</v>
      </c>
      <c r="C6" s="2" t="s">
        <v>49</v>
      </c>
      <c r="D6" s="2" t="s">
        <v>65</v>
      </c>
      <c r="E6" s="2" t="s">
        <v>14</v>
      </c>
      <c r="F6" s="2">
        <v>38</v>
      </c>
      <c r="G6" s="2" t="s">
        <v>66</v>
      </c>
      <c r="H6" s="2" t="s">
        <v>67</v>
      </c>
      <c r="I6" s="2">
        <v>4</v>
      </c>
      <c r="J6" s="2">
        <v>4</v>
      </c>
      <c r="K6" s="2" t="s">
        <v>68</v>
      </c>
      <c r="L6" s="2" t="s">
        <v>69</v>
      </c>
    </row>
    <row r="7" spans="1:12">
      <c r="A7" s="2" t="s">
        <v>23</v>
      </c>
      <c r="B7" s="2" t="s">
        <v>70</v>
      </c>
      <c r="C7" s="2" t="s">
        <v>49</v>
      </c>
      <c r="D7" s="2" t="s">
        <v>71</v>
      </c>
      <c r="E7" s="2" t="s">
        <v>14</v>
      </c>
      <c r="F7" s="2">
        <v>26</v>
      </c>
      <c r="G7" s="2" t="s">
        <v>15</v>
      </c>
      <c r="H7" s="2" t="s">
        <v>72</v>
      </c>
      <c r="I7" s="2">
        <v>5</v>
      </c>
      <c r="J7" s="2">
        <v>5</v>
      </c>
      <c r="K7" s="2" t="s">
        <v>73</v>
      </c>
      <c r="L7" s="2" t="s">
        <v>53</v>
      </c>
    </row>
    <row r="8" spans="1:12" ht="41.4">
      <c r="A8" s="2" t="s">
        <v>24</v>
      </c>
      <c r="B8" s="2" t="s">
        <v>70</v>
      </c>
      <c r="C8" s="2" t="s">
        <v>49</v>
      </c>
      <c r="D8" s="2" t="s">
        <v>74</v>
      </c>
      <c r="E8" s="2" t="s">
        <v>14</v>
      </c>
      <c r="F8" s="2">
        <v>77</v>
      </c>
      <c r="G8" s="2" t="s">
        <v>75</v>
      </c>
      <c r="H8" s="2" t="s">
        <v>76</v>
      </c>
      <c r="I8" s="2">
        <v>4</v>
      </c>
      <c r="J8" s="2">
        <v>4</v>
      </c>
      <c r="K8" s="2" t="s">
        <v>77</v>
      </c>
      <c r="L8" s="2" t="s">
        <v>78</v>
      </c>
    </row>
    <row r="9" spans="1:1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tabSelected="1" workbookViewId="0">
      <selection activeCell="H8" sqref="H8"/>
    </sheetView>
  </sheetViews>
  <sheetFormatPr defaultRowHeight="13.8"/>
  <cols>
    <col min="1" max="6" width="24" customWidth="1"/>
  </cols>
  <sheetData>
    <row r="1" spans="1:6" ht="22.35" customHeight="1">
      <c r="A1" s="8" t="s">
        <v>27</v>
      </c>
      <c r="B1" s="9"/>
      <c r="C1" s="9"/>
      <c r="D1" s="9"/>
      <c r="E1" s="9"/>
      <c r="F1" s="9"/>
    </row>
    <row r="3" spans="1:6">
      <c r="A3" s="3" t="s">
        <v>28</v>
      </c>
      <c r="B3" s="3" t="s">
        <v>29</v>
      </c>
      <c r="D3" s="14" t="s">
        <v>30</v>
      </c>
      <c r="E3" s="15" t="s">
        <v>31</v>
      </c>
      <c r="F3" s="14" t="s">
        <v>32</v>
      </c>
    </row>
    <row r="4" spans="1:6" ht="27.6">
      <c r="A4" s="4" t="s">
        <v>33</v>
      </c>
      <c r="B4" s="2">
        <f>COUNTA('Raw Validation Data'!A2:A101)</f>
        <v>7</v>
      </c>
      <c r="D4" s="13" t="s">
        <v>15</v>
      </c>
      <c r="E4" s="12">
        <v>4</v>
      </c>
      <c r="F4" s="13" t="s">
        <v>34</v>
      </c>
    </row>
    <row r="5" spans="1:6" ht="41.4">
      <c r="A5" s="4" t="s">
        <v>35</v>
      </c>
      <c r="B5" s="2">
        <f>COUNTIF('Raw Validation Data'!E2:E101,"Yes")</f>
        <v>7</v>
      </c>
      <c r="D5" s="13" t="s">
        <v>55</v>
      </c>
      <c r="E5" s="12">
        <v>1</v>
      </c>
      <c r="F5" s="13" t="s">
        <v>85</v>
      </c>
    </row>
    <row r="6" spans="1:6" ht="41.4">
      <c r="A6" s="4" t="s">
        <v>36</v>
      </c>
      <c r="B6" s="5">
        <f>IF(B4=0,0,B5/B4)</f>
        <v>1</v>
      </c>
      <c r="D6" s="13" t="s">
        <v>66</v>
      </c>
      <c r="E6" s="12">
        <v>1</v>
      </c>
      <c r="F6" s="13" t="s">
        <v>86</v>
      </c>
    </row>
    <row r="7" spans="1:6" ht="41.4">
      <c r="A7" s="4" t="s">
        <v>37</v>
      </c>
      <c r="B7" s="6">
        <f>AVERAGE('Raw Validation Data'!I2:I101)</f>
        <v>4.4285714285714288</v>
      </c>
      <c r="D7" s="13" t="s">
        <v>75</v>
      </c>
      <c r="E7" s="12">
        <v>1</v>
      </c>
      <c r="F7" s="13" t="s">
        <v>84</v>
      </c>
    </row>
    <row r="8" spans="1:6" ht="41.4">
      <c r="A8" s="4" t="s">
        <v>38</v>
      </c>
      <c r="B8" s="6">
        <f>AVERAGE('Raw Validation Data'!J2:J101)</f>
        <v>4.4285714285714288</v>
      </c>
      <c r="D8" s="13" t="s">
        <v>17</v>
      </c>
      <c r="E8" s="12">
        <v>0</v>
      </c>
      <c r="F8" s="13" t="s">
        <v>87</v>
      </c>
    </row>
    <row r="9" spans="1:6" ht="27.6">
      <c r="A9" s="4" t="s">
        <v>39</v>
      </c>
      <c r="B9" s="2">
        <f>COUNTIFS('Raw Validation Data'!A2:A101,"&lt;&gt;",'Raw Validation Data'!G2:G101,"&lt;&gt;No confusion")</f>
        <v>3</v>
      </c>
      <c r="D9" s="13" t="s">
        <v>20</v>
      </c>
      <c r="E9" s="12">
        <v>0</v>
      </c>
      <c r="F9" s="13" t="s">
        <v>88</v>
      </c>
    </row>
    <row r="10" spans="1:6" ht="27.6">
      <c r="A10" s="4" t="s">
        <v>40</v>
      </c>
      <c r="B10" s="2" t="str">
        <f>IF(B6&gt;=0.75,"Validated / Continue","Partially validated / Revise")</f>
        <v>Validated / Continue</v>
      </c>
      <c r="D10" s="13" t="s">
        <v>26</v>
      </c>
      <c r="E10" s="12">
        <v>0</v>
      </c>
      <c r="F10" s="13" t="s">
        <v>89</v>
      </c>
    </row>
    <row r="13" spans="1:6">
      <c r="A13" s="10" t="s">
        <v>41</v>
      </c>
      <c r="B13" s="9"/>
      <c r="C13" s="9"/>
      <c r="D13" s="9"/>
      <c r="E13" s="9"/>
      <c r="F13" s="9"/>
    </row>
    <row r="14" spans="1:6">
      <c r="A14" s="7" t="s">
        <v>42</v>
      </c>
      <c r="B14" s="7" t="s">
        <v>43</v>
      </c>
      <c r="C14" s="7"/>
      <c r="D14" s="7"/>
      <c r="E14" s="7"/>
      <c r="F14" s="7"/>
    </row>
    <row r="15" spans="1:6" ht="27.6">
      <c r="A15" s="2" t="s">
        <v>44</v>
      </c>
      <c r="B15" s="11" t="s">
        <v>79</v>
      </c>
      <c r="C15" s="2"/>
      <c r="D15" s="2"/>
      <c r="E15" s="2"/>
      <c r="F15" s="2"/>
    </row>
    <row r="16" spans="1:6" ht="27.6">
      <c r="A16" s="2" t="s">
        <v>45</v>
      </c>
      <c r="B16" s="11" t="s">
        <v>80</v>
      </c>
      <c r="C16" s="2"/>
      <c r="D16" s="2"/>
      <c r="E16" s="2"/>
      <c r="F16" s="2"/>
    </row>
    <row r="17" spans="1:6" ht="41.4">
      <c r="A17" s="2" t="s">
        <v>46</v>
      </c>
      <c r="B17" s="11" t="s">
        <v>81</v>
      </c>
      <c r="C17" s="2"/>
      <c r="D17" s="2"/>
      <c r="E17" s="2"/>
      <c r="F17" s="2"/>
    </row>
    <row r="18" spans="1:6" ht="27.6">
      <c r="A18" s="2" t="s">
        <v>47</v>
      </c>
      <c r="B18" s="11" t="s">
        <v>82</v>
      </c>
      <c r="C18" s="2"/>
      <c r="D18" s="2"/>
      <c r="E18" s="2"/>
      <c r="F18" s="2"/>
    </row>
    <row r="19" spans="1:6" ht="27.6">
      <c r="A19" s="2" t="s">
        <v>48</v>
      </c>
      <c r="B19" s="11" t="s">
        <v>83</v>
      </c>
      <c r="C19" s="2"/>
      <c r="D19" s="2"/>
      <c r="E19" s="2"/>
      <c r="F19" s="2"/>
    </row>
  </sheetData>
  <mergeCells count="2">
    <mergeCell ref="A1:F1"/>
    <mergeCell ref="A13:F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Validation Data</vt:lpstr>
      <vt:lpstr>Analytics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Mya Hninsi Phyu</dc:creator>
  <cp:lastModifiedBy>MYAHNINSI PHYU</cp:lastModifiedBy>
  <dcterms:created xsi:type="dcterms:W3CDTF">2026-07-16T08:22:00Z</dcterms:created>
  <dcterms:modified xsi:type="dcterms:W3CDTF">2026-07-16T08:22:00Z</dcterms:modified>
</cp:coreProperties>
</file>